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Pruebas Psicologicas\Mabe\Calificación\"/>
    </mc:Choice>
  </mc:AlternateContent>
  <workbookProtection workbookPassword="C6B9" lockStructure="1"/>
  <bookViews>
    <workbookView xWindow="120" yWindow="135" windowWidth="15480" windowHeight="11640" activeTab="1"/>
  </bookViews>
  <sheets>
    <sheet name="Proc. Ps." sheetId="3" r:id="rId1"/>
    <sheet name="Val. Ps." sheetId="2" r:id="rId2"/>
    <sheet name="Val. Puesto" sheetId="1" r:id="rId3"/>
    <sheet name="Proc. Puesto" sheetId="4" r:id="rId4"/>
  </sheets>
  <calcPr calcId="162913"/>
</workbook>
</file>

<file path=xl/calcChain.xml><?xml version="1.0" encoding="utf-8"?>
<calcChain xmlns="http://schemas.openxmlformats.org/spreadsheetml/2006/main">
  <c r="G26" i="1" l="1"/>
  <c r="H26" i="1" s="1"/>
  <c r="I26" i="1" s="1"/>
  <c r="J26" i="1" s="1"/>
  <c r="K26" i="1" s="1"/>
  <c r="K22" i="2"/>
  <c r="L22" i="2" s="1"/>
  <c r="M22" i="2" s="1"/>
  <c r="N22" i="2" s="1"/>
  <c r="O22" i="2" s="1"/>
  <c r="J20" i="2"/>
  <c r="K20" i="2"/>
  <c r="L20" i="2"/>
  <c r="M20" i="2"/>
  <c r="N20" i="2"/>
  <c r="O20" i="2"/>
  <c r="C31" i="3"/>
  <c r="D31" i="3" s="1"/>
  <c r="E31" i="3"/>
  <c r="F31" i="3" s="1"/>
  <c r="G31" i="3"/>
  <c r="H31" i="3" s="1"/>
  <c r="K31" i="3"/>
  <c r="L31" i="3" s="1"/>
  <c r="C32" i="3"/>
  <c r="D32" i="3" s="1"/>
  <c r="E32" i="3"/>
  <c r="F32" i="3" s="1"/>
  <c r="G32" i="3"/>
  <c r="H32" i="3" s="1"/>
  <c r="K32" i="3"/>
  <c r="L32" i="3" s="1"/>
  <c r="C33" i="3"/>
  <c r="D33" i="3"/>
  <c r="E33" i="3"/>
  <c r="F33" i="3"/>
  <c r="G33" i="3"/>
  <c r="H33" i="3"/>
  <c r="K33" i="3"/>
  <c r="L33" i="3"/>
  <c r="C34" i="3"/>
  <c r="D34" i="3" s="1"/>
  <c r="E34" i="3"/>
  <c r="F34" i="3" s="1"/>
  <c r="G34" i="3"/>
  <c r="H34" i="3" s="1"/>
  <c r="K34" i="3"/>
  <c r="L34" i="3" s="1"/>
  <c r="Q31" i="3" s="1"/>
  <c r="F24" i="1"/>
  <c r="G24" i="1"/>
  <c r="L24" i="1" s="1"/>
  <c r="F25" i="1" s="1"/>
  <c r="H24" i="1"/>
  <c r="I24" i="1"/>
  <c r="J24" i="1"/>
  <c r="K24" i="1"/>
  <c r="F21" i="4"/>
  <c r="I21" i="4" s="1"/>
  <c r="J21" i="4" s="1"/>
  <c r="K21" i="4" s="1"/>
  <c r="F22" i="4"/>
  <c r="H22" i="4"/>
  <c r="I22" i="4"/>
  <c r="J22" i="4" s="1"/>
  <c r="K22" i="4" s="1"/>
  <c r="F23" i="4"/>
  <c r="H23" i="4"/>
  <c r="I23" i="4" s="1"/>
  <c r="J23" i="4" s="1"/>
  <c r="K23" i="4" s="1"/>
  <c r="F24" i="4"/>
  <c r="P20" i="2" l="1"/>
  <c r="J21" i="2" s="1"/>
  <c r="O33" i="3"/>
  <c r="O31" i="3"/>
  <c r="Q33" i="3"/>
  <c r="F25" i="4"/>
  <c r="G21" i="4" s="1"/>
  <c r="H24" i="4"/>
  <c r="I24" i="4" s="1"/>
  <c r="J24" i="4" s="1"/>
  <c r="K24" i="4" s="1"/>
  <c r="O23" i="2"/>
  <c r="O24" i="2" s="1"/>
  <c r="O25" i="2" s="1"/>
  <c r="I31" i="3"/>
  <c r="I32" i="3"/>
  <c r="I33" i="3"/>
  <c r="I34" i="3"/>
  <c r="J23" i="2"/>
  <c r="J24" i="2" s="1"/>
  <c r="J25" i="2" s="1"/>
  <c r="K23" i="2"/>
  <c r="K24" i="2" s="1"/>
  <c r="K25" i="2" s="1"/>
  <c r="L23" i="2"/>
  <c r="L24" i="2" s="1"/>
  <c r="L25" i="2" s="1"/>
  <c r="M23" i="2"/>
  <c r="M24" i="2" s="1"/>
  <c r="M25" i="2" s="1"/>
  <c r="N23" i="2"/>
  <c r="N24" i="2" s="1"/>
  <c r="N25" i="2" s="1"/>
  <c r="F27" i="1"/>
  <c r="F28" i="1" s="1"/>
  <c r="F29" i="1" s="1"/>
  <c r="G27" i="1" l="1"/>
  <c r="G28" i="1" s="1"/>
  <c r="G29" i="1" s="1"/>
  <c r="H27" i="1" l="1"/>
  <c r="H28" i="1" s="1"/>
  <c r="H29" i="1" s="1"/>
  <c r="I27" i="1" l="1"/>
  <c r="I28" i="1" s="1"/>
  <c r="I29" i="1" s="1"/>
  <c r="K27" i="1" l="1"/>
  <c r="K28" i="1" s="1"/>
  <c r="K29" i="1" s="1"/>
  <c r="J27" i="1"/>
  <c r="J28" i="1" s="1"/>
  <c r="J29" i="1" s="1"/>
</calcChain>
</file>

<file path=xl/comments1.xml><?xml version="1.0" encoding="utf-8"?>
<comments xmlns="http://schemas.openxmlformats.org/spreadsheetml/2006/main">
  <authors>
    <author>Bj</author>
  </authors>
  <commentList>
    <comment ref="J31" authorId="0" shapeId="0">
      <text>
        <r>
          <rPr>
            <b/>
            <sz val="9"/>
            <color indexed="9"/>
            <rFont val="Tahoma"/>
            <family val="2"/>
          </rPr>
          <t>En esta celda se colocara como corresponde el resultado de la celda en color azul, de acuerdo a la siguiente regla: 
* Si el resultado presenta fracciones inferiores a 0.50, elimine la fracción,
* Si la fracción es de 0.50, conserve la fracción.
* Si la fracción es superior a 0.50, redondee a la unidad siguiente.</t>
        </r>
      </text>
    </comment>
    <comment ref="J32" authorId="0" shapeId="0">
      <text>
        <r>
          <rPr>
            <b/>
            <sz val="9"/>
            <color indexed="9"/>
            <rFont val="Tahoma"/>
            <family val="2"/>
          </rPr>
          <t>En esta celda se colocara como corresponde el resultado de la celda en color azul, de acuerdo a la siguiente regla: 
* Si el resultado presenta fracciones inferiores a 0.50, elimine la fracción,
* Si la fracción es de 0.50, conserve la fracción.
* Si la fracción es superior a 0.50, redondee a la unidad siguiente.</t>
        </r>
        <r>
          <rPr>
            <sz val="9"/>
            <color indexed="9"/>
            <rFont val="Tahoma"/>
            <family val="2"/>
          </rPr>
          <t xml:space="preserve">
</t>
        </r>
      </text>
    </comment>
    <comment ref="J33" authorId="0" shapeId="0">
      <text>
        <r>
          <rPr>
            <b/>
            <sz val="9"/>
            <color indexed="9"/>
            <rFont val="Tahoma"/>
            <family val="2"/>
          </rPr>
          <t xml:space="preserve">En esta celda se colocara como corresponde el resultado de la celda en color azul, de acuerdo a la siguiente regla: 
* Si el resultado presenta fracciones inferiores a 0.50, elimine la fracción,
* Si la fracción es de 0.50, conserve la fracción.
* Si la fracción es superior a 0.50, redondee a la unidad siguiente.
</t>
        </r>
      </text>
    </comment>
    <comment ref="J34" authorId="0" shapeId="0">
      <text>
        <r>
          <rPr>
            <b/>
            <sz val="9"/>
            <color indexed="9"/>
            <rFont val="Tahoma"/>
            <family val="2"/>
          </rPr>
          <t>En esta celda se colocara como corresponde el resultado de la celda en color azul, de acuerdo a la siguiente regla: 
* Si el resultado presenta fracciones inferiores a 0.50, elimine la fracción,
* Si la fracción es de 0.50, conserve la fracción.
* Si la fracción es superior a 0.50, redondee a la unidad siguiente.</t>
        </r>
      </text>
    </comment>
  </commentList>
</comments>
</file>

<file path=xl/comments2.xml><?xml version="1.0" encoding="utf-8"?>
<comments xmlns="http://schemas.openxmlformats.org/spreadsheetml/2006/main">
  <authors>
    <author>LUZ</author>
  </authors>
  <commentList>
    <comment ref="J22" authorId="0" shapeId="0">
      <text>
        <r>
          <rPr>
            <sz val="8"/>
            <color indexed="9"/>
            <rFont val="Tahoma"/>
            <family val="2"/>
          </rPr>
          <t>Colocar el valor de la celda en azul dependiendo el resultado se redondeara o no</t>
        </r>
      </text>
    </comment>
  </commentList>
</comments>
</file>

<file path=xl/comments3.xml><?xml version="1.0" encoding="utf-8"?>
<comments xmlns="http://schemas.openxmlformats.org/spreadsheetml/2006/main">
  <authors>
    <author>LUZ</author>
  </authors>
  <commentList>
    <comment ref="F26" authorId="0" shapeId="0">
      <text>
        <r>
          <rPr>
            <sz val="8"/>
            <color indexed="9"/>
            <rFont val="Tahoma"/>
            <family val="2"/>
          </rPr>
          <t>Colocar el valor de la celda en azul dependiendo el resultado se redondeara o no</t>
        </r>
      </text>
    </comment>
  </commentList>
</comments>
</file>

<file path=xl/comments4.xml><?xml version="1.0" encoding="utf-8"?>
<comments xmlns="http://schemas.openxmlformats.org/spreadsheetml/2006/main">
  <authors>
    <author>Margarita Sánchez Pérez</author>
  </authors>
  <commentList>
    <comment ref="H21" authorId="0" shapeId="0">
      <text>
        <r>
          <rPr>
            <b/>
            <sz val="9"/>
            <color indexed="9"/>
            <rFont val="Arial"/>
            <family val="2"/>
          </rPr>
          <t>En esta celda se colocara el resultado de la celda en color azul, de acuerdo a la siguiente regla: 
* Si el resultado presenta fracciones inferiores a 0.50, elimine la fracción,
* Si la fracción es de 0.50, conserve la fracción.
* Si la fracción es superior a 0.50, redondee a la unidad siguiente.</t>
        </r>
      </text>
    </comment>
  </commentList>
</comments>
</file>

<file path=xl/sharedStrings.xml><?xml version="1.0" encoding="utf-8"?>
<sst xmlns="http://schemas.openxmlformats.org/spreadsheetml/2006/main" count="195" uniqueCount="25">
  <si>
    <t>T</t>
  </si>
  <si>
    <t>A</t>
  </si>
  <si>
    <t>E</t>
  </si>
  <si>
    <t>S</t>
  </si>
  <si>
    <t>P</t>
  </si>
  <si>
    <t>R</t>
  </si>
  <si>
    <t>TR</t>
  </si>
  <si>
    <t>D</t>
  </si>
  <si>
    <t>X</t>
  </si>
  <si>
    <t>TN</t>
  </si>
  <si>
    <t>TS</t>
  </si>
  <si>
    <t>D%</t>
  </si>
  <si>
    <t>V</t>
  </si>
  <si>
    <t>I</t>
  </si>
  <si>
    <t>L</t>
  </si>
  <si>
    <t>N</t>
  </si>
  <si>
    <t>I/2</t>
  </si>
  <si>
    <t>II/3</t>
  </si>
  <si>
    <t>III/5</t>
  </si>
  <si>
    <t>.</t>
  </si>
  <si>
    <t>C</t>
  </si>
  <si>
    <t>VALORES PERSONAL</t>
  </si>
  <si>
    <t>PROCESO PENSANTE PREFERIDO PERSONAL</t>
  </si>
  <si>
    <t>VALORES DEL PUESTO</t>
  </si>
  <si>
    <t>PROCESO PENSANTE PREFERIDO DEL 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</si>
</sst>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9"/>
      <name val="Tahoma"/>
      <family val="2"/>
    </font>
    <font>
      <sz val="10"/>
      <name val="Arial"/>
      <family val="2"/>
    </font>
    <font>
      <b/>
      <sz val="9"/>
      <color indexed="9"/>
      <name val="Tahoma"/>
      <family val="2"/>
    </font>
    <font>
      <b/>
      <sz val="9"/>
      <color indexed="9"/>
      <name val="Arial"/>
      <family val="2"/>
    </font>
    <font>
      <sz val="8"/>
      <color indexed="9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0" fontId="2" fillId="0" borderId="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4" xfId="0" applyFont="1" applyBorder="1"/>
    <xf numFmtId="0" fontId="2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16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164" fontId="3" fillId="0" borderId="21" xfId="0" applyNumberFormat="1" applyFont="1" applyFill="1" applyBorder="1" applyAlignment="1">
      <alignment horizontal="center"/>
    </xf>
    <xf numFmtId="164" fontId="3" fillId="0" borderId="22" xfId="0" applyNumberFormat="1" applyFont="1" applyFill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4" xfId="0" applyNumberFormat="1" applyFill="1" applyBorder="1" applyAlignment="1">
      <alignment horizontal="center"/>
    </xf>
    <xf numFmtId="2" fontId="0" fillId="3" borderId="3" xfId="0" applyNumberFormat="1" applyFill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0" fillId="0" borderId="0" xfId="0" applyProtection="1"/>
    <xf numFmtId="0" fontId="2" fillId="0" borderId="0" xfId="0" applyFont="1" applyAlignment="1" applyProtection="1">
      <alignment horizontal="center"/>
    </xf>
    <xf numFmtId="0" fontId="2" fillId="0" borderId="13" xfId="0" applyFont="1" applyBorder="1" applyAlignment="1" applyProtection="1">
      <alignment horizontal="center"/>
    </xf>
    <xf numFmtId="0" fontId="2" fillId="0" borderId="14" xfId="0" applyFont="1" applyBorder="1" applyAlignment="1" applyProtection="1">
      <alignment horizontal="center"/>
    </xf>
    <xf numFmtId="0" fontId="2" fillId="0" borderId="15" xfId="0" applyFont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164" fontId="0" fillId="0" borderId="3" xfId="0" applyNumberForma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0" fillId="0" borderId="9" xfId="0" applyBorder="1" applyAlignment="1" applyProtection="1">
      <alignment horizontal="center"/>
    </xf>
    <xf numFmtId="0" fontId="0" fillId="0" borderId="10" xfId="0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0" fillId="0" borderId="12" xfId="0" applyBorder="1" applyAlignment="1" applyProtection="1">
      <alignment horizontal="center"/>
    </xf>
    <xf numFmtId="164" fontId="0" fillId="0" borderId="1" xfId="0" applyNumberFormat="1" applyBorder="1" applyAlignment="1" applyProtection="1">
      <alignment horizontal="center"/>
    </xf>
    <xf numFmtId="0" fontId="0" fillId="2" borderId="13" xfId="0" applyFill="1" applyBorder="1" applyAlignment="1" applyProtection="1">
      <alignment horizontal="center"/>
      <protection locked="0"/>
    </xf>
    <xf numFmtId="0" fontId="0" fillId="2" borderId="14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0" borderId="6" xfId="0" applyFill="1" applyBorder="1" applyProtection="1">
      <protection locked="0"/>
    </xf>
    <xf numFmtId="164" fontId="5" fillId="2" borderId="3" xfId="0" applyNumberFormat="1" applyFont="1" applyFill="1" applyBorder="1" applyAlignment="1" applyProtection="1">
      <alignment horizontal="center"/>
      <protection locked="0"/>
    </xf>
    <xf numFmtId="164" fontId="0" fillId="2" borderId="3" xfId="0" applyNumberFormat="1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3" fillId="2" borderId="1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  <protection locked="0"/>
    </xf>
    <xf numFmtId="164" fontId="3" fillId="2" borderId="17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1" fontId="0" fillId="4" borderId="14" xfId="0" applyNumberForma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</xf>
    <xf numFmtId="164" fontId="0" fillId="0" borderId="4" xfId="0" applyNumberForma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2" fillId="0" borderId="4" xfId="0" applyFont="1" applyBorder="1" applyAlignment="1" applyProtection="1">
      <alignment horizontal="center"/>
    </xf>
    <xf numFmtId="0" fontId="2" fillId="0" borderId="23" xfId="0" applyFont="1" applyBorder="1" applyAlignment="1" applyProtection="1">
      <alignment horizontal="center"/>
    </xf>
    <xf numFmtId="0" fontId="2" fillId="0" borderId="24" xfId="0" applyFont="1" applyBorder="1" applyAlignment="1" applyProtection="1">
      <alignment horizontal="center"/>
    </xf>
    <xf numFmtId="0" fontId="2" fillId="0" borderId="25" xfId="0" applyFont="1" applyBorder="1" applyAlignment="1" applyProtection="1">
      <alignment horizontal="center"/>
    </xf>
    <xf numFmtId="0" fontId="2" fillId="0" borderId="0" xfId="0" applyFont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/>
    </xf>
    <xf numFmtId="2" fontId="0" fillId="5" borderId="30" xfId="0" applyNumberFormat="1" applyFill="1" applyBorder="1" applyAlignment="1">
      <alignment horizontal="center"/>
    </xf>
    <xf numFmtId="2" fontId="0" fillId="5" borderId="31" xfId="0" applyNumberForma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2" fontId="3" fillId="3" borderId="26" xfId="0" applyNumberFormat="1" applyFont="1" applyFill="1" applyBorder="1" applyAlignment="1">
      <alignment horizontal="center" vertical="center"/>
    </xf>
    <xf numFmtId="2" fontId="3" fillId="3" borderId="27" xfId="0" applyNumberFormat="1" applyFont="1" applyFill="1" applyBorder="1" applyAlignment="1">
      <alignment horizontal="center" vertical="center"/>
    </xf>
    <xf numFmtId="2" fontId="3" fillId="3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X34"/>
  <sheetViews>
    <sheetView showGridLines="0" topLeftCell="A18" workbookViewId="0">
      <selection activeCell="J35" sqref="J35"/>
    </sheetView>
  </sheetViews>
  <sheetFormatPr baseColWidth="10" defaultRowHeight="12.75" x14ac:dyDescent="0.2"/>
  <cols>
    <col min="1" max="24" width="5.5703125" style="40" customWidth="1"/>
    <col min="25" max="26" width="3.7109375" style="40" customWidth="1"/>
    <col min="27" max="16384" width="11.42578125" style="40"/>
  </cols>
  <sheetData>
    <row r="2" spans="1:24" x14ac:dyDescent="0.2">
      <c r="A2" s="73" t="s">
        <v>22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</row>
    <row r="4" spans="1:24" ht="13.5" thickBot="1" x14ac:dyDescent="0.25"/>
    <row r="5" spans="1:24" x14ac:dyDescent="0.2">
      <c r="A5" s="41" t="s">
        <v>12</v>
      </c>
      <c r="B5" s="39">
        <v>3</v>
      </c>
      <c r="D5" s="41" t="s">
        <v>13</v>
      </c>
      <c r="E5" s="39">
        <v>4</v>
      </c>
      <c r="G5" s="41" t="s">
        <v>1</v>
      </c>
      <c r="H5" s="39">
        <v>2</v>
      </c>
      <c r="J5" s="41" t="s">
        <v>14</v>
      </c>
      <c r="K5" s="39">
        <v>1</v>
      </c>
      <c r="T5" s="42" t="s">
        <v>1</v>
      </c>
      <c r="U5" s="42"/>
      <c r="V5" s="59">
        <v>4</v>
      </c>
      <c r="W5" s="42"/>
      <c r="X5" s="42"/>
    </row>
    <row r="6" spans="1:24" x14ac:dyDescent="0.2">
      <c r="A6" s="41" t="s">
        <v>1</v>
      </c>
      <c r="B6" s="39">
        <v>4</v>
      </c>
      <c r="D6" s="41" t="s">
        <v>13</v>
      </c>
      <c r="E6" s="39">
        <v>3</v>
      </c>
      <c r="G6" s="41" t="s">
        <v>12</v>
      </c>
      <c r="H6" s="39">
        <v>1</v>
      </c>
      <c r="J6" s="41" t="s">
        <v>14</v>
      </c>
      <c r="K6" s="39">
        <v>2</v>
      </c>
      <c r="T6" s="43"/>
      <c r="U6" s="43" t="s">
        <v>14</v>
      </c>
      <c r="V6" s="60">
        <v>4</v>
      </c>
      <c r="W6" s="43"/>
      <c r="X6" s="43"/>
    </row>
    <row r="7" spans="1:24" x14ac:dyDescent="0.2">
      <c r="A7" s="41" t="s">
        <v>13</v>
      </c>
      <c r="B7" s="39">
        <v>3</v>
      </c>
      <c r="D7" s="41" t="s">
        <v>14</v>
      </c>
      <c r="E7" s="39">
        <v>5</v>
      </c>
      <c r="G7" s="41" t="s">
        <v>12</v>
      </c>
      <c r="H7" s="39">
        <v>2</v>
      </c>
      <c r="J7" s="41" t="s">
        <v>1</v>
      </c>
      <c r="K7" s="39">
        <v>4</v>
      </c>
      <c r="T7" s="43"/>
      <c r="U7" s="43"/>
      <c r="V7" s="60">
        <v>4</v>
      </c>
      <c r="W7" s="43"/>
      <c r="X7" s="43" t="s">
        <v>12</v>
      </c>
    </row>
    <row r="8" spans="1:24" x14ac:dyDescent="0.2">
      <c r="A8" s="41" t="s">
        <v>1</v>
      </c>
      <c r="B8" s="39">
        <v>3</v>
      </c>
      <c r="D8" s="41" t="s">
        <v>14</v>
      </c>
      <c r="E8" s="39">
        <v>5</v>
      </c>
      <c r="G8" s="41" t="s">
        <v>12</v>
      </c>
      <c r="H8" s="39">
        <v>4</v>
      </c>
      <c r="J8" s="41" t="s">
        <v>13</v>
      </c>
      <c r="K8" s="39">
        <v>2</v>
      </c>
      <c r="T8" s="43" t="s">
        <v>1</v>
      </c>
      <c r="U8" s="43"/>
      <c r="V8" s="60">
        <v>3</v>
      </c>
      <c r="W8" s="43"/>
      <c r="X8" s="43"/>
    </row>
    <row r="9" spans="1:24" x14ac:dyDescent="0.2">
      <c r="T9" s="43"/>
      <c r="U9" s="43"/>
      <c r="V9" s="60">
        <v>4</v>
      </c>
      <c r="W9" s="43" t="s">
        <v>13</v>
      </c>
      <c r="X9" s="43"/>
    </row>
    <row r="10" spans="1:24" x14ac:dyDescent="0.2">
      <c r="T10" s="43"/>
      <c r="U10" s="43"/>
      <c r="V10" s="60">
        <v>4</v>
      </c>
      <c r="W10" s="43" t="s">
        <v>13</v>
      </c>
      <c r="X10" s="43"/>
    </row>
    <row r="11" spans="1:24" x14ac:dyDescent="0.2">
      <c r="D11" s="41" t="s">
        <v>12</v>
      </c>
      <c r="E11" s="39">
        <v>3</v>
      </c>
      <c r="G11" s="41" t="s">
        <v>13</v>
      </c>
      <c r="H11" s="39">
        <v>4</v>
      </c>
      <c r="T11" s="43"/>
      <c r="U11" s="43" t="s">
        <v>14</v>
      </c>
      <c r="V11" s="60">
        <v>4</v>
      </c>
      <c r="W11" s="43"/>
      <c r="X11" s="43"/>
    </row>
    <row r="12" spans="1:24" x14ac:dyDescent="0.2">
      <c r="D12" s="41" t="s">
        <v>1</v>
      </c>
      <c r="E12" s="39">
        <v>1</v>
      </c>
      <c r="G12" s="41" t="s">
        <v>14</v>
      </c>
      <c r="H12" s="39">
        <v>5</v>
      </c>
      <c r="T12" s="43"/>
      <c r="U12" s="43"/>
      <c r="V12" s="60">
        <v>3</v>
      </c>
      <c r="W12" s="43"/>
      <c r="X12" s="43" t="s">
        <v>12</v>
      </c>
    </row>
    <row r="13" spans="1:24" x14ac:dyDescent="0.2">
      <c r="T13" s="43" t="s">
        <v>1</v>
      </c>
      <c r="U13" s="43"/>
      <c r="V13" s="60">
        <v>4</v>
      </c>
      <c r="W13" s="43"/>
      <c r="X13" s="43"/>
    </row>
    <row r="14" spans="1:24" x14ac:dyDescent="0.2">
      <c r="T14" s="43"/>
      <c r="U14" s="43"/>
      <c r="V14" s="60">
        <v>3</v>
      </c>
      <c r="W14" s="43"/>
      <c r="X14" s="43" t="s">
        <v>12</v>
      </c>
    </row>
    <row r="15" spans="1:24" ht="13.5" thickBot="1" x14ac:dyDescent="0.25">
      <c r="T15" s="43"/>
      <c r="U15" s="43"/>
      <c r="V15" s="60">
        <v>3</v>
      </c>
      <c r="W15" s="43"/>
      <c r="X15" s="43" t="s">
        <v>12</v>
      </c>
    </row>
    <row r="16" spans="1:24" x14ac:dyDescent="0.2">
      <c r="A16" s="42"/>
      <c r="B16" s="42"/>
      <c r="C16" s="59">
        <v>3</v>
      </c>
      <c r="D16" s="42"/>
      <c r="E16" s="42" t="s">
        <v>12</v>
      </c>
      <c r="G16" s="42"/>
      <c r="H16" s="42"/>
      <c r="I16" s="59">
        <v>3</v>
      </c>
      <c r="J16" s="42" t="s">
        <v>13</v>
      </c>
      <c r="K16" s="42"/>
      <c r="M16" s="42"/>
      <c r="N16" s="42" t="s">
        <v>14</v>
      </c>
      <c r="O16" s="59">
        <v>4</v>
      </c>
      <c r="P16" s="42"/>
      <c r="Q16" s="42"/>
      <c r="T16" s="43"/>
      <c r="U16" s="43" t="s">
        <v>14</v>
      </c>
      <c r="V16" s="60">
        <v>3</v>
      </c>
      <c r="W16" s="43"/>
      <c r="X16" s="43"/>
    </row>
    <row r="17" spans="1:24" x14ac:dyDescent="0.2">
      <c r="A17" s="43"/>
      <c r="B17" s="43"/>
      <c r="C17" s="60">
        <v>5</v>
      </c>
      <c r="D17" s="43" t="s">
        <v>13</v>
      </c>
      <c r="E17" s="43"/>
      <c r="G17" s="43"/>
      <c r="H17" s="43" t="s">
        <v>14</v>
      </c>
      <c r="I17" s="60">
        <v>4</v>
      </c>
      <c r="J17" s="43"/>
      <c r="K17" s="43"/>
      <c r="M17" s="43"/>
      <c r="N17" s="43" t="s">
        <v>14</v>
      </c>
      <c r="O17" s="60">
        <v>4</v>
      </c>
      <c r="P17" s="43"/>
      <c r="Q17" s="43"/>
      <c r="T17" s="43"/>
      <c r="U17" s="43"/>
      <c r="V17" s="60">
        <v>4</v>
      </c>
      <c r="W17" s="43" t="s">
        <v>13</v>
      </c>
      <c r="X17" s="43"/>
    </row>
    <row r="18" spans="1:24" x14ac:dyDescent="0.2">
      <c r="A18" s="43"/>
      <c r="B18" s="43" t="s">
        <v>14</v>
      </c>
      <c r="C18" s="60">
        <v>3</v>
      </c>
      <c r="D18" s="43"/>
      <c r="E18" s="43"/>
      <c r="G18" s="43" t="s">
        <v>1</v>
      </c>
      <c r="H18" s="43"/>
      <c r="I18" s="60">
        <v>3</v>
      </c>
      <c r="J18" s="43"/>
      <c r="K18" s="43"/>
      <c r="M18" s="43" t="s">
        <v>1</v>
      </c>
      <c r="N18" s="43"/>
      <c r="O18" s="60">
        <v>4</v>
      </c>
      <c r="P18" s="43"/>
      <c r="Q18" s="43"/>
      <c r="T18" s="43"/>
      <c r="U18" s="43" t="s">
        <v>14</v>
      </c>
      <c r="V18" s="60">
        <v>4</v>
      </c>
      <c r="W18" s="43"/>
      <c r="X18" s="43"/>
    </row>
    <row r="19" spans="1:24" x14ac:dyDescent="0.2">
      <c r="A19" s="43"/>
      <c r="B19" s="43"/>
      <c r="C19" s="60">
        <v>4</v>
      </c>
      <c r="D19" s="43"/>
      <c r="E19" s="43" t="s">
        <v>12</v>
      </c>
      <c r="G19" s="43" t="s">
        <v>1</v>
      </c>
      <c r="H19" s="43"/>
      <c r="I19" s="60">
        <v>4</v>
      </c>
      <c r="J19" s="43"/>
      <c r="K19" s="43"/>
      <c r="M19" s="43"/>
      <c r="N19" s="43"/>
      <c r="O19" s="60">
        <v>4</v>
      </c>
      <c r="P19" s="43"/>
      <c r="Q19" s="43" t="s">
        <v>12</v>
      </c>
      <c r="T19" s="43" t="s">
        <v>1</v>
      </c>
      <c r="U19" s="43"/>
      <c r="V19" s="60">
        <v>4</v>
      </c>
      <c r="W19" s="43"/>
      <c r="X19" s="43"/>
    </row>
    <row r="20" spans="1:24" x14ac:dyDescent="0.2">
      <c r="A20" s="43"/>
      <c r="B20" s="43"/>
      <c r="C20" s="60">
        <v>2</v>
      </c>
      <c r="D20" s="43" t="s">
        <v>13</v>
      </c>
      <c r="E20" s="43"/>
      <c r="G20" s="43"/>
      <c r="H20" s="43" t="s">
        <v>14</v>
      </c>
      <c r="I20" s="60">
        <v>3</v>
      </c>
      <c r="J20" s="43"/>
      <c r="K20" s="43"/>
      <c r="M20" s="43" t="s">
        <v>1</v>
      </c>
      <c r="N20" s="43"/>
      <c r="O20" s="60">
        <v>3</v>
      </c>
      <c r="P20" s="43"/>
      <c r="Q20" s="43"/>
      <c r="T20" s="43"/>
      <c r="U20" s="43"/>
      <c r="V20" s="60">
        <v>4</v>
      </c>
      <c r="W20" s="43"/>
      <c r="X20" s="43" t="s">
        <v>12</v>
      </c>
    </row>
    <row r="21" spans="1:24" ht="13.5" thickBot="1" x14ac:dyDescent="0.25">
      <c r="A21" s="43"/>
      <c r="B21" s="43"/>
      <c r="C21" s="60">
        <v>4</v>
      </c>
      <c r="D21" s="43" t="s">
        <v>13</v>
      </c>
      <c r="E21" s="43"/>
      <c r="G21" s="43" t="s">
        <v>1</v>
      </c>
      <c r="H21" s="43"/>
      <c r="I21" s="60">
        <v>4</v>
      </c>
      <c r="J21" s="43"/>
      <c r="K21" s="43"/>
      <c r="M21" s="44"/>
      <c r="N21" s="44"/>
      <c r="O21" s="61">
        <v>3</v>
      </c>
      <c r="P21" s="44"/>
      <c r="Q21" s="44" t="s">
        <v>12</v>
      </c>
      <c r="T21" s="43"/>
      <c r="U21" s="43"/>
      <c r="V21" s="60">
        <v>3</v>
      </c>
      <c r="W21" s="43" t="s">
        <v>13</v>
      </c>
      <c r="X21" s="43"/>
    </row>
    <row r="22" spans="1:24" ht="13.5" thickBot="1" x14ac:dyDescent="0.25">
      <c r="A22" s="44"/>
      <c r="B22" s="44"/>
      <c r="C22" s="61">
        <v>4</v>
      </c>
      <c r="D22" s="44"/>
      <c r="E22" s="44" t="s">
        <v>12</v>
      </c>
      <c r="G22" s="44"/>
      <c r="H22" s="44"/>
      <c r="I22" s="61">
        <v>4</v>
      </c>
      <c r="J22" s="44" t="s">
        <v>13</v>
      </c>
      <c r="K22" s="44"/>
      <c r="M22" s="45"/>
      <c r="N22" s="45"/>
      <c r="O22" s="62"/>
      <c r="P22" s="45"/>
      <c r="Q22" s="45"/>
      <c r="T22" s="43" t="s">
        <v>1</v>
      </c>
      <c r="U22" s="43"/>
      <c r="V22" s="60">
        <v>3</v>
      </c>
      <c r="W22" s="43"/>
      <c r="X22" s="43"/>
    </row>
    <row r="23" spans="1:24" x14ac:dyDescent="0.2">
      <c r="I23" s="46"/>
      <c r="T23" s="43"/>
      <c r="U23" s="43"/>
      <c r="V23" s="60">
        <v>3</v>
      </c>
      <c r="W23" s="43" t="s">
        <v>13</v>
      </c>
      <c r="X23" s="43"/>
    </row>
    <row r="24" spans="1:24" ht="13.5" thickBot="1" x14ac:dyDescent="0.25">
      <c r="T24" s="44"/>
      <c r="U24" s="44" t="s">
        <v>14</v>
      </c>
      <c r="V24" s="61">
        <v>4</v>
      </c>
      <c r="W24" s="44"/>
      <c r="X24" s="44"/>
    </row>
    <row r="29" spans="1:24" ht="13.5" thickBot="1" x14ac:dyDescent="0.25"/>
    <row r="30" spans="1:24" ht="13.5" thickBot="1" x14ac:dyDescent="0.25">
      <c r="B30" s="47"/>
      <c r="C30" s="77" t="s">
        <v>16</v>
      </c>
      <c r="D30" s="79"/>
      <c r="E30" s="77" t="s">
        <v>17</v>
      </c>
      <c r="F30" s="79"/>
      <c r="G30" s="77" t="s">
        <v>18</v>
      </c>
      <c r="H30" s="79"/>
      <c r="I30" s="77" t="s">
        <v>3</v>
      </c>
      <c r="J30" s="78"/>
      <c r="K30" s="79"/>
      <c r="L30" s="47" t="s">
        <v>15</v>
      </c>
      <c r="O30" s="76" t="s">
        <v>14</v>
      </c>
      <c r="P30" s="76"/>
      <c r="Q30" s="76" t="s">
        <v>5</v>
      </c>
      <c r="R30" s="76"/>
    </row>
    <row r="31" spans="1:24" ht="13.5" thickBot="1" x14ac:dyDescent="0.25">
      <c r="B31" s="48" t="s">
        <v>1</v>
      </c>
      <c r="C31" s="49">
        <f>+B6+B8+H5+K7+E12</f>
        <v>14</v>
      </c>
      <c r="D31" s="50">
        <f>+C31*2</f>
        <v>28</v>
      </c>
      <c r="E31" s="49">
        <f>+I18+I19+I21+O18+O20</f>
        <v>18</v>
      </c>
      <c r="F31" s="50">
        <f>+E31*3</f>
        <v>54</v>
      </c>
      <c r="G31" s="49">
        <f>+V5+V8+V13+V19+V22</f>
        <v>18</v>
      </c>
      <c r="H31" s="50">
        <f>+G31*5</f>
        <v>90</v>
      </c>
      <c r="I31" s="35">
        <f>(+D31+F31+H31)/10</f>
        <v>17.2</v>
      </c>
      <c r="J31" s="63">
        <v>17</v>
      </c>
      <c r="K31" s="51">
        <f>+J31-5</f>
        <v>12</v>
      </c>
      <c r="L31" s="51">
        <f>+K31*5</f>
        <v>60</v>
      </c>
      <c r="O31" s="74">
        <f>+L31+L32</f>
        <v>127.5</v>
      </c>
      <c r="P31" s="74"/>
      <c r="Q31" s="74">
        <f>+L33+L34</f>
        <v>122.5</v>
      </c>
      <c r="R31" s="75"/>
    </row>
    <row r="32" spans="1:24" ht="13.5" thickBot="1" x14ac:dyDescent="0.25">
      <c r="B32" s="52" t="s">
        <v>14</v>
      </c>
      <c r="C32" s="53">
        <f>+E7+E8+K5+K6+H12</f>
        <v>18</v>
      </c>
      <c r="D32" s="54">
        <f>+C32*2</f>
        <v>36</v>
      </c>
      <c r="E32" s="53">
        <f>+C18+I17+I20+O16+O17</f>
        <v>18</v>
      </c>
      <c r="F32" s="54">
        <f>+E32*3</f>
        <v>54</v>
      </c>
      <c r="G32" s="53">
        <f>+V6+V11+V16+V18+V24</f>
        <v>19</v>
      </c>
      <c r="H32" s="54">
        <f>+G32*5</f>
        <v>95</v>
      </c>
      <c r="I32" s="35">
        <f t="shared" ref="I32:I34" si="0">(+D32+F32+H32)/10</f>
        <v>18.5</v>
      </c>
      <c r="J32" s="64">
        <v>18.5</v>
      </c>
      <c r="K32" s="51">
        <f>+J32-5</f>
        <v>13.5</v>
      </c>
      <c r="L32" s="51">
        <f>+K32*5</f>
        <v>67.5</v>
      </c>
      <c r="O32" s="76" t="s">
        <v>3</v>
      </c>
      <c r="P32" s="76"/>
      <c r="Q32" s="76" t="s">
        <v>20</v>
      </c>
      <c r="R32" s="76"/>
    </row>
    <row r="33" spans="2:18" ht="13.5" thickBot="1" x14ac:dyDescent="0.25">
      <c r="B33" s="52" t="s">
        <v>13</v>
      </c>
      <c r="C33" s="53">
        <f>+E5+E6+K8+H11+B7</f>
        <v>16</v>
      </c>
      <c r="D33" s="54">
        <f>+C33*2</f>
        <v>32</v>
      </c>
      <c r="E33" s="53">
        <f>+C17+C20+C21+I16+I22</f>
        <v>18</v>
      </c>
      <c r="F33" s="54">
        <f>+E33*3</f>
        <v>54</v>
      </c>
      <c r="G33" s="53">
        <f>+V9+V10+V17+V21+V23</f>
        <v>18</v>
      </c>
      <c r="H33" s="54">
        <f>+G33*5</f>
        <v>90</v>
      </c>
      <c r="I33" s="35">
        <f t="shared" si="0"/>
        <v>17.600000000000001</v>
      </c>
      <c r="J33" s="64">
        <v>18</v>
      </c>
      <c r="K33" s="51">
        <f>+J33-5</f>
        <v>13</v>
      </c>
      <c r="L33" s="51">
        <f>+K33*5</f>
        <v>65</v>
      </c>
      <c r="O33" s="74">
        <f>+L32+L33</f>
        <v>132.5</v>
      </c>
      <c r="P33" s="75"/>
      <c r="Q33" s="74">
        <f>+L31+L34</f>
        <v>117.5</v>
      </c>
      <c r="R33" s="74"/>
    </row>
    <row r="34" spans="2:18" ht="13.5" thickBot="1" x14ac:dyDescent="0.25">
      <c r="B34" s="55" t="s">
        <v>12</v>
      </c>
      <c r="C34" s="56">
        <f>+B5+H6+H7+H8+E11</f>
        <v>13</v>
      </c>
      <c r="D34" s="57">
        <f>+C34*2</f>
        <v>26</v>
      </c>
      <c r="E34" s="56">
        <f>+C16+C19+C22+O19+O21</f>
        <v>18</v>
      </c>
      <c r="F34" s="57">
        <f>+E34*3</f>
        <v>54</v>
      </c>
      <c r="G34" s="56">
        <f>+V12+V14+V15+V20+V7</f>
        <v>17</v>
      </c>
      <c r="H34" s="57">
        <f>+G34*5</f>
        <v>85</v>
      </c>
      <c r="I34" s="35">
        <f t="shared" si="0"/>
        <v>16.5</v>
      </c>
      <c r="J34" s="65">
        <v>16.5</v>
      </c>
      <c r="K34" s="51">
        <f>+J34-5</f>
        <v>11.5</v>
      </c>
      <c r="L34" s="58">
        <f>+K34*5</f>
        <v>57.5</v>
      </c>
    </row>
  </sheetData>
  <sheetProtection password="C6B9" sheet="1" formatCells="0" formatColumns="0" formatRows="0" insertColumns="0" insertRows="0" insertHyperlinks="0" deleteColumns="0" deleteRows="0" sort="0" autoFilter="0" pivotTables="0"/>
  <mergeCells count="13">
    <mergeCell ref="A2:X2"/>
    <mergeCell ref="O33:P33"/>
    <mergeCell ref="Q33:R33"/>
    <mergeCell ref="O30:P30"/>
    <mergeCell ref="Q30:R30"/>
    <mergeCell ref="Q32:R32"/>
    <mergeCell ref="O32:P32"/>
    <mergeCell ref="O31:P31"/>
    <mergeCell ref="Q31:R31"/>
    <mergeCell ref="I30:K30"/>
    <mergeCell ref="C30:D30"/>
    <mergeCell ref="E30:F30"/>
    <mergeCell ref="G30:H30"/>
  </mergeCells>
  <phoneticPr fontId="1" type="noConversion"/>
  <printOptions horizontalCentered="1" verticalCentered="1"/>
  <pageMargins left="0" right="0" top="0" bottom="0" header="0" footer="0"/>
  <pageSetup orientation="landscape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W25"/>
  <sheetViews>
    <sheetView showGridLines="0" tabSelected="1" workbookViewId="0">
      <selection activeCell="L18" sqref="L18"/>
    </sheetView>
  </sheetViews>
  <sheetFormatPr baseColWidth="10" defaultRowHeight="12.75" x14ac:dyDescent="0.2"/>
  <cols>
    <col min="1" max="3" width="5.7109375" customWidth="1"/>
    <col min="4" max="4" width="5.7109375" style="2" customWidth="1"/>
    <col min="5" max="11" width="5.7109375" customWidth="1"/>
    <col min="12" max="12" width="5.7109375" style="2" customWidth="1"/>
    <col min="13" max="23" width="5.7109375" customWidth="1"/>
    <col min="25" max="25" width="3.7109375" bestFit="1" customWidth="1"/>
    <col min="26" max="30" width="3" bestFit="1" customWidth="1"/>
    <col min="31" max="31" width="2.28515625" bestFit="1" customWidth="1"/>
  </cols>
  <sheetData>
    <row r="2" spans="1:23" x14ac:dyDescent="0.2">
      <c r="A2" s="80" t="s">
        <v>21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</row>
    <row r="4" spans="1:23" ht="13.5" thickBot="1" x14ac:dyDescent="0.25"/>
    <row r="5" spans="1:23" x14ac:dyDescent="0.2">
      <c r="A5" s="10"/>
      <c r="B5" s="10"/>
      <c r="C5" s="10"/>
      <c r="D5" s="66">
        <v>5</v>
      </c>
      <c r="E5" s="10" t="s">
        <v>3</v>
      </c>
      <c r="F5" s="10"/>
      <c r="G5" s="10"/>
      <c r="H5" s="3"/>
      <c r="I5" s="10"/>
      <c r="J5" s="10"/>
      <c r="K5" s="10" t="s">
        <v>1</v>
      </c>
      <c r="L5" s="66">
        <v>4</v>
      </c>
      <c r="M5" s="10"/>
      <c r="N5" s="10"/>
      <c r="O5" s="10"/>
      <c r="P5" s="3"/>
      <c r="Q5" s="10"/>
      <c r="R5" s="10"/>
      <c r="S5" s="10"/>
      <c r="T5" s="66">
        <v>2</v>
      </c>
      <c r="U5" s="10"/>
      <c r="V5" s="10" t="s">
        <v>4</v>
      </c>
      <c r="W5" s="10"/>
    </row>
    <row r="6" spans="1:23" x14ac:dyDescent="0.2">
      <c r="A6" s="11" t="s">
        <v>0</v>
      </c>
      <c r="B6" s="11"/>
      <c r="C6" s="11"/>
      <c r="D6" s="67">
        <v>4</v>
      </c>
      <c r="E6" s="11"/>
      <c r="F6" s="11"/>
      <c r="G6" s="11"/>
      <c r="H6" s="3"/>
      <c r="I6" s="11"/>
      <c r="J6" s="11" t="s">
        <v>2</v>
      </c>
      <c r="K6" s="11"/>
      <c r="L6" s="67">
        <v>3</v>
      </c>
      <c r="M6" s="11"/>
      <c r="N6" s="11"/>
      <c r="O6" s="11"/>
      <c r="P6" s="3"/>
      <c r="Q6" s="11"/>
      <c r="R6" s="11" t="s">
        <v>2</v>
      </c>
      <c r="S6" s="11"/>
      <c r="T6" s="67">
        <v>3</v>
      </c>
      <c r="U6" s="11"/>
      <c r="V6" s="11"/>
      <c r="W6" s="11"/>
    </row>
    <row r="7" spans="1:23" x14ac:dyDescent="0.2">
      <c r="A7" s="11"/>
      <c r="B7" s="11" t="s">
        <v>2</v>
      </c>
      <c r="C7" s="11"/>
      <c r="D7" s="67">
        <v>2</v>
      </c>
      <c r="E7" s="11"/>
      <c r="F7" s="11"/>
      <c r="G7" s="11"/>
      <c r="H7" s="3"/>
      <c r="I7" s="11"/>
      <c r="J7" s="11"/>
      <c r="K7" s="11"/>
      <c r="L7" s="67">
        <v>1</v>
      </c>
      <c r="M7" s="11"/>
      <c r="N7" s="11" t="s">
        <v>4</v>
      </c>
      <c r="O7" s="11"/>
      <c r="P7" s="3"/>
      <c r="Q7" s="11"/>
      <c r="R7" s="11"/>
      <c r="S7" s="11"/>
      <c r="T7" s="67">
        <v>4</v>
      </c>
      <c r="U7" s="11" t="s">
        <v>3</v>
      </c>
      <c r="V7" s="11"/>
      <c r="W7" s="11"/>
    </row>
    <row r="8" spans="1:23" x14ac:dyDescent="0.2">
      <c r="A8" s="11"/>
      <c r="B8" s="11"/>
      <c r="C8" s="11"/>
      <c r="D8" s="67">
        <v>1</v>
      </c>
      <c r="E8" s="11"/>
      <c r="F8" s="11"/>
      <c r="G8" s="11" t="s">
        <v>5</v>
      </c>
      <c r="H8" s="3"/>
      <c r="I8" s="11"/>
      <c r="J8" s="11"/>
      <c r="K8" s="11"/>
      <c r="L8" s="67">
        <v>5</v>
      </c>
      <c r="M8" s="11"/>
      <c r="N8" s="11"/>
      <c r="O8" s="11" t="s">
        <v>5</v>
      </c>
      <c r="P8" s="3"/>
      <c r="Q8" s="11"/>
      <c r="R8" s="11"/>
      <c r="S8" s="11" t="s">
        <v>1</v>
      </c>
      <c r="T8" s="67">
        <v>1</v>
      </c>
      <c r="U8" s="11"/>
      <c r="V8" s="11"/>
      <c r="W8" s="11"/>
    </row>
    <row r="9" spans="1:23" ht="13.5" thickBot="1" x14ac:dyDescent="0.25">
      <c r="A9" s="12"/>
      <c r="B9" s="12"/>
      <c r="C9" s="12"/>
      <c r="D9" s="68">
        <v>3</v>
      </c>
      <c r="E9" s="12"/>
      <c r="F9" s="12" t="s">
        <v>4</v>
      </c>
      <c r="G9" s="12"/>
      <c r="H9" s="3"/>
      <c r="I9" s="12"/>
      <c r="J9" s="12"/>
      <c r="K9" s="12" t="s">
        <v>1</v>
      </c>
      <c r="L9" s="68">
        <v>2</v>
      </c>
      <c r="M9" s="12"/>
      <c r="N9" s="12"/>
      <c r="O9" s="12"/>
      <c r="P9" s="3"/>
      <c r="Q9" s="12"/>
      <c r="R9" s="12"/>
      <c r="S9" s="12"/>
      <c r="T9" s="68">
        <v>5</v>
      </c>
      <c r="U9" s="12"/>
      <c r="V9" s="12"/>
      <c r="W9" s="12" t="s">
        <v>5</v>
      </c>
    </row>
    <row r="10" spans="1:23" s="5" customFormat="1" x14ac:dyDescent="0.2">
      <c r="A10" s="3"/>
      <c r="B10" s="3"/>
      <c r="C10" s="3"/>
      <c r="D10" s="4"/>
      <c r="E10" s="3"/>
      <c r="F10" s="3"/>
      <c r="G10" s="3"/>
      <c r="H10" s="3"/>
      <c r="I10" s="3"/>
      <c r="J10" s="3"/>
      <c r="K10" s="3"/>
      <c r="L10" s="4"/>
      <c r="M10" s="3"/>
      <c r="N10" s="3"/>
      <c r="O10" s="3"/>
      <c r="P10" s="3"/>
      <c r="Q10" s="3"/>
      <c r="R10" s="3"/>
      <c r="S10" s="3"/>
      <c r="T10" s="4"/>
      <c r="U10" s="3"/>
      <c r="V10" s="3"/>
      <c r="W10" s="3"/>
    </row>
    <row r="11" spans="1:23" s="5" customFormat="1" ht="13.5" thickBot="1" x14ac:dyDescent="0.25">
      <c r="A11" s="3"/>
      <c r="B11" s="3"/>
      <c r="C11" s="3"/>
      <c r="D11" s="4"/>
      <c r="E11" s="3"/>
      <c r="F11" s="3"/>
      <c r="G11" s="3"/>
      <c r="H11" s="3"/>
      <c r="I11" s="3"/>
      <c r="J11" s="3"/>
      <c r="K11" s="3"/>
      <c r="L11" s="4"/>
      <c r="M11" s="3"/>
      <c r="N11" s="3"/>
      <c r="O11" s="3"/>
      <c r="P11" s="3"/>
      <c r="Q11" s="3"/>
      <c r="R11" s="3"/>
      <c r="S11" s="3"/>
      <c r="T11" s="4"/>
      <c r="U11" s="3"/>
      <c r="V11" s="3"/>
      <c r="W11" s="3"/>
    </row>
    <row r="12" spans="1:23" x14ac:dyDescent="0.2">
      <c r="A12" s="10"/>
      <c r="B12" s="10" t="s">
        <v>2</v>
      </c>
      <c r="C12" s="10"/>
      <c r="D12" s="66">
        <v>1</v>
      </c>
      <c r="E12" s="10"/>
      <c r="F12" s="10"/>
      <c r="G12" s="10"/>
      <c r="H12" s="3"/>
      <c r="I12" s="10"/>
      <c r="J12" s="10"/>
      <c r="K12" s="10"/>
      <c r="L12" s="66">
        <v>2</v>
      </c>
      <c r="M12" s="10"/>
      <c r="N12" s="10" t="s">
        <v>4</v>
      </c>
      <c r="O12" s="10"/>
      <c r="P12" s="3"/>
      <c r="Q12" s="10"/>
      <c r="R12" s="10"/>
      <c r="S12" s="10" t="s">
        <v>1</v>
      </c>
      <c r="T12" s="66">
        <v>3</v>
      </c>
      <c r="U12" s="10"/>
      <c r="V12" s="10"/>
      <c r="W12" s="10"/>
    </row>
    <row r="13" spans="1:23" x14ac:dyDescent="0.2">
      <c r="A13" s="11"/>
      <c r="B13" s="11"/>
      <c r="C13" s="11"/>
      <c r="D13" s="67">
        <v>3</v>
      </c>
      <c r="E13" s="11" t="s">
        <v>3</v>
      </c>
      <c r="F13" s="11"/>
      <c r="G13" s="11"/>
      <c r="H13" s="3"/>
      <c r="I13" s="11" t="s">
        <v>0</v>
      </c>
      <c r="J13" s="11"/>
      <c r="K13" s="11"/>
      <c r="L13" s="67">
        <v>1</v>
      </c>
      <c r="M13" s="11"/>
      <c r="N13" s="11"/>
      <c r="O13" s="11"/>
      <c r="P13" s="3"/>
      <c r="Q13" s="11"/>
      <c r="R13" s="11"/>
      <c r="S13" s="11"/>
      <c r="T13" s="67">
        <v>1</v>
      </c>
      <c r="U13" s="11"/>
      <c r="V13" s="11" t="s">
        <v>4</v>
      </c>
      <c r="W13" s="11"/>
    </row>
    <row r="14" spans="1:23" x14ac:dyDescent="0.2">
      <c r="A14" s="11" t="s">
        <v>0</v>
      </c>
      <c r="B14" s="11"/>
      <c r="C14" s="11"/>
      <c r="D14" s="67">
        <v>2</v>
      </c>
      <c r="E14" s="11"/>
      <c r="F14" s="11"/>
      <c r="G14" s="11"/>
      <c r="H14" s="3"/>
      <c r="I14" s="11"/>
      <c r="J14" s="11"/>
      <c r="K14" s="11"/>
      <c r="L14" s="67">
        <v>5</v>
      </c>
      <c r="M14" s="11"/>
      <c r="N14" s="11"/>
      <c r="O14" s="11" t="s">
        <v>5</v>
      </c>
      <c r="P14" s="3"/>
      <c r="Q14" s="11" t="s">
        <v>0</v>
      </c>
      <c r="R14" s="11"/>
      <c r="S14" s="11"/>
      <c r="T14" s="67">
        <v>5</v>
      </c>
      <c r="U14" s="11"/>
      <c r="V14" s="11"/>
      <c r="W14" s="11"/>
    </row>
    <row r="15" spans="1:23" x14ac:dyDescent="0.2">
      <c r="A15" s="11" t="s">
        <v>0</v>
      </c>
      <c r="B15" s="11"/>
      <c r="C15" s="11"/>
      <c r="D15" s="67">
        <v>4</v>
      </c>
      <c r="E15" s="11"/>
      <c r="F15" s="11"/>
      <c r="G15" s="11"/>
      <c r="H15" s="3"/>
      <c r="I15" s="11"/>
      <c r="J15" s="11" t="s">
        <v>2</v>
      </c>
      <c r="K15" s="11"/>
      <c r="L15" s="67">
        <v>4</v>
      </c>
      <c r="M15" s="11"/>
      <c r="N15" s="11"/>
      <c r="O15" s="11"/>
      <c r="P15" s="3"/>
      <c r="Q15" s="11"/>
      <c r="R15" s="11"/>
      <c r="S15" s="11"/>
      <c r="T15" s="67">
        <v>4</v>
      </c>
      <c r="U15" s="11"/>
      <c r="V15" s="11"/>
      <c r="W15" s="11" t="s">
        <v>5</v>
      </c>
    </row>
    <row r="16" spans="1:23" ht="13.5" thickBot="1" x14ac:dyDescent="0.25">
      <c r="A16" s="12"/>
      <c r="B16" s="12" t="s">
        <v>2</v>
      </c>
      <c r="C16" s="12"/>
      <c r="D16" s="68">
        <v>5</v>
      </c>
      <c r="E16" s="12"/>
      <c r="F16" s="12"/>
      <c r="G16" s="12"/>
      <c r="H16" s="3"/>
      <c r="I16" s="12"/>
      <c r="J16" s="12"/>
      <c r="K16" s="12"/>
      <c r="L16" s="68">
        <v>3</v>
      </c>
      <c r="M16" s="12" t="s">
        <v>3</v>
      </c>
      <c r="N16" s="12"/>
      <c r="O16" s="12"/>
      <c r="P16" s="3"/>
      <c r="Q16" s="12"/>
      <c r="R16" s="12"/>
      <c r="S16" s="12"/>
      <c r="T16" s="68">
        <v>2</v>
      </c>
      <c r="U16" s="12" t="s">
        <v>3</v>
      </c>
      <c r="V16" s="12"/>
      <c r="W16" s="12"/>
    </row>
    <row r="18" spans="9:16" ht="13.5" thickBot="1" x14ac:dyDescent="0.25"/>
    <row r="19" spans="9:16" ht="13.5" thickBot="1" x14ac:dyDescent="0.25">
      <c r="I19" s="38"/>
      <c r="J19" s="38" t="s">
        <v>0</v>
      </c>
      <c r="K19" s="38" t="s">
        <v>2</v>
      </c>
      <c r="L19" s="38" t="s">
        <v>1</v>
      </c>
      <c r="M19" s="38" t="s">
        <v>3</v>
      </c>
      <c r="N19" s="38" t="s">
        <v>4</v>
      </c>
      <c r="O19" s="38" t="s">
        <v>5</v>
      </c>
      <c r="P19" s="38"/>
    </row>
    <row r="20" spans="9:16" x14ac:dyDescent="0.2">
      <c r="I20" s="7" t="s">
        <v>5</v>
      </c>
      <c r="J20" s="30">
        <f>+D6+D14+D15+L13+T14</f>
        <v>16</v>
      </c>
      <c r="K20" s="30">
        <f>+D7+D12+D16+L6+L15+T6</f>
        <v>18</v>
      </c>
      <c r="L20" s="31">
        <f>+L5+L9+T8+T12</f>
        <v>10</v>
      </c>
      <c r="M20" s="30">
        <f>+D5+D13+L16+T7+T16</f>
        <v>17</v>
      </c>
      <c r="N20" s="30">
        <f>+D9+L7+L12+T5+T13</f>
        <v>9</v>
      </c>
      <c r="O20" s="30">
        <f>+D8+L8+L14+T9+T15</f>
        <v>20</v>
      </c>
      <c r="P20" s="13">
        <f>SUM(J20:O20)</f>
        <v>90</v>
      </c>
    </row>
    <row r="21" spans="9:16" x14ac:dyDescent="0.2">
      <c r="I21" s="81" t="s">
        <v>1</v>
      </c>
      <c r="J21" s="83">
        <f>+P20/6</f>
        <v>15</v>
      </c>
      <c r="K21" s="84"/>
      <c r="L21" s="84"/>
      <c r="M21" s="84"/>
      <c r="N21" s="84"/>
      <c r="O21" s="85"/>
      <c r="P21" s="71"/>
    </row>
    <row r="22" spans="9:16" x14ac:dyDescent="0.2">
      <c r="I22" s="82"/>
      <c r="J22" s="72">
        <v>15</v>
      </c>
      <c r="K22" s="29">
        <f>+J22</f>
        <v>15</v>
      </c>
      <c r="L22" s="29">
        <f t="shared" ref="L22:O22" si="0">+K22</f>
        <v>15</v>
      </c>
      <c r="M22" s="29">
        <f t="shared" si="0"/>
        <v>15</v>
      </c>
      <c r="N22" s="29">
        <f t="shared" si="0"/>
        <v>15</v>
      </c>
      <c r="O22" s="29">
        <f t="shared" si="0"/>
        <v>15</v>
      </c>
      <c r="P22" s="14"/>
    </row>
    <row r="23" spans="9:16" x14ac:dyDescent="0.2">
      <c r="I23" s="25" t="s">
        <v>7</v>
      </c>
      <c r="J23" s="29">
        <f t="shared" ref="J23:O23" si="1">+J20-J22</f>
        <v>1</v>
      </c>
      <c r="K23" s="29">
        <f t="shared" si="1"/>
        <v>3</v>
      </c>
      <c r="L23" s="29">
        <f t="shared" si="1"/>
        <v>-5</v>
      </c>
      <c r="M23" s="29">
        <f t="shared" si="1"/>
        <v>2</v>
      </c>
      <c r="N23" s="29">
        <f t="shared" si="1"/>
        <v>-6</v>
      </c>
      <c r="O23" s="29">
        <f t="shared" si="1"/>
        <v>5</v>
      </c>
      <c r="P23" s="14"/>
    </row>
    <row r="24" spans="9:16" x14ac:dyDescent="0.2">
      <c r="I24" s="8" t="s">
        <v>11</v>
      </c>
      <c r="J24" s="29">
        <f t="shared" ref="J24:O24" si="2">+J23*6</f>
        <v>6</v>
      </c>
      <c r="K24" s="29">
        <f t="shared" si="2"/>
        <v>18</v>
      </c>
      <c r="L24" s="32">
        <f t="shared" si="2"/>
        <v>-30</v>
      </c>
      <c r="M24" s="29">
        <f t="shared" si="2"/>
        <v>12</v>
      </c>
      <c r="N24" s="29">
        <f t="shared" si="2"/>
        <v>-36</v>
      </c>
      <c r="O24" s="29">
        <f t="shared" si="2"/>
        <v>30</v>
      </c>
      <c r="P24" s="14"/>
    </row>
    <row r="25" spans="9:16" ht="13.5" thickBot="1" x14ac:dyDescent="0.25">
      <c r="I25" s="9" t="s">
        <v>0</v>
      </c>
      <c r="J25" s="33">
        <f t="shared" ref="J25:O25" si="3">+J24+50</f>
        <v>56</v>
      </c>
      <c r="K25" s="33">
        <f t="shared" si="3"/>
        <v>68</v>
      </c>
      <c r="L25" s="28">
        <f t="shared" si="3"/>
        <v>20</v>
      </c>
      <c r="M25" s="33">
        <f t="shared" si="3"/>
        <v>62</v>
      </c>
      <c r="N25" s="33">
        <f t="shared" si="3"/>
        <v>14</v>
      </c>
      <c r="O25" s="33">
        <f t="shared" si="3"/>
        <v>80</v>
      </c>
      <c r="P25" s="16"/>
    </row>
  </sheetData>
  <sheetProtection password="C6B9" sheet="1" objects="1" scenarios="1" formatCells="0" formatColumns="0" formatRows="0" insertColumns="0" insertRows="0" insertHyperlinks="0" deleteColumns="0" deleteRows="0" sort="0" autoFilter="0" pivotTables="0"/>
  <mergeCells count="3">
    <mergeCell ref="A2:W2"/>
    <mergeCell ref="I21:I22"/>
    <mergeCell ref="J21:O21"/>
  </mergeCells>
  <phoneticPr fontId="1" type="noConversion"/>
  <printOptions horizontalCentered="1" verticalCentered="1"/>
  <pageMargins left="0" right="0" top="0" bottom="0" header="0" footer="0"/>
  <pageSetup orientation="landscape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O29"/>
  <sheetViews>
    <sheetView showGridLines="0" workbookViewId="0">
      <selection activeCell="F26" sqref="F26"/>
    </sheetView>
  </sheetViews>
  <sheetFormatPr baseColWidth="10" defaultRowHeight="12.75" x14ac:dyDescent="0.2"/>
  <cols>
    <col min="1" max="3" width="5" style="36" customWidth="1"/>
    <col min="4" max="4" width="5" customWidth="1"/>
    <col min="5" max="7" width="5" style="36" customWidth="1"/>
    <col min="8" max="8" width="5" customWidth="1"/>
    <col min="9" max="11" width="5" style="36" customWidth="1"/>
    <col min="12" max="12" width="5" customWidth="1"/>
    <col min="13" max="15" width="5" style="36" customWidth="1"/>
    <col min="16" max="23" width="3.7109375" customWidth="1"/>
  </cols>
  <sheetData>
    <row r="2" spans="1:15" x14ac:dyDescent="0.2">
      <c r="A2" s="80" t="s">
        <v>23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</row>
    <row r="5" spans="1:15" ht="13.5" thickBot="1" x14ac:dyDescent="0.25"/>
    <row r="6" spans="1:15" x14ac:dyDescent="0.2">
      <c r="A6" s="7"/>
      <c r="B6" s="7"/>
      <c r="C6" s="7"/>
      <c r="D6" s="59"/>
      <c r="E6" s="7" t="s">
        <v>3</v>
      </c>
      <c r="F6" s="7"/>
      <c r="G6" s="7"/>
      <c r="I6" s="7"/>
      <c r="J6" s="7"/>
      <c r="K6" s="7"/>
      <c r="L6" s="59"/>
      <c r="M6" s="7"/>
      <c r="N6" s="7"/>
      <c r="O6" s="7" t="s">
        <v>5</v>
      </c>
    </row>
    <row r="7" spans="1:15" x14ac:dyDescent="0.2">
      <c r="A7" s="8" t="s">
        <v>0</v>
      </c>
      <c r="B7" s="8"/>
      <c r="C7" s="8"/>
      <c r="D7" s="60"/>
      <c r="E7" s="8"/>
      <c r="F7" s="8"/>
      <c r="G7" s="8"/>
      <c r="I7" s="8"/>
      <c r="J7" s="8"/>
      <c r="K7" s="8"/>
      <c r="L7" s="60"/>
      <c r="M7" s="8" t="s">
        <v>3</v>
      </c>
      <c r="N7" s="8"/>
      <c r="O7" s="8"/>
    </row>
    <row r="8" spans="1:15" x14ac:dyDescent="0.2">
      <c r="A8" s="8"/>
      <c r="B8" s="8"/>
      <c r="C8" s="8" t="s">
        <v>1</v>
      </c>
      <c r="D8" s="60"/>
      <c r="E8" s="8"/>
      <c r="F8" s="8"/>
      <c r="G8" s="8"/>
      <c r="I8" s="8"/>
      <c r="J8" s="8"/>
      <c r="K8" s="8" t="s">
        <v>1</v>
      </c>
      <c r="L8" s="60"/>
      <c r="M8" s="8"/>
      <c r="N8" s="8"/>
      <c r="O8" s="8"/>
    </row>
    <row r="9" spans="1:15" x14ac:dyDescent="0.2">
      <c r="A9" s="8"/>
      <c r="B9" s="8" t="s">
        <v>2</v>
      </c>
      <c r="C9" s="8"/>
      <c r="D9" s="60"/>
      <c r="E9" s="8"/>
      <c r="F9" s="8"/>
      <c r="G9" s="8"/>
      <c r="I9" s="8" t="s">
        <v>0</v>
      </c>
      <c r="J9" s="8"/>
      <c r="K9" s="8"/>
      <c r="L9" s="60"/>
      <c r="M9" s="8"/>
      <c r="N9" s="8"/>
      <c r="O9" s="8"/>
    </row>
    <row r="10" spans="1:15" x14ac:dyDescent="0.2">
      <c r="A10" s="8"/>
      <c r="B10" s="8"/>
      <c r="C10" s="8"/>
      <c r="D10" s="60"/>
      <c r="E10" s="8"/>
      <c r="F10" s="8" t="s">
        <v>4</v>
      </c>
      <c r="G10" s="8"/>
      <c r="I10" s="8"/>
      <c r="J10" s="8" t="s">
        <v>2</v>
      </c>
      <c r="K10" s="8"/>
      <c r="L10" s="60"/>
      <c r="M10" s="8"/>
      <c r="N10" s="8"/>
      <c r="O10" s="8"/>
    </row>
    <row r="11" spans="1:15" x14ac:dyDescent="0.2">
      <c r="A11" s="8" t="s">
        <v>0</v>
      </c>
      <c r="B11" s="8"/>
      <c r="C11" s="8"/>
      <c r="D11" s="60"/>
      <c r="E11" s="8"/>
      <c r="F11" s="8"/>
      <c r="G11" s="8"/>
      <c r="I11" s="8"/>
      <c r="J11" s="8"/>
      <c r="K11" s="8"/>
      <c r="L11" s="60"/>
      <c r="M11" s="8"/>
      <c r="N11" s="8" t="s">
        <v>4</v>
      </c>
      <c r="O11" s="8"/>
    </row>
    <row r="12" spans="1:15" x14ac:dyDescent="0.2">
      <c r="A12" s="8"/>
      <c r="B12" s="8" t="s">
        <v>2</v>
      </c>
      <c r="C12" s="8"/>
      <c r="D12" s="60"/>
      <c r="E12" s="8"/>
      <c r="F12" s="8"/>
      <c r="G12" s="8"/>
      <c r="I12" s="8" t="s">
        <v>0</v>
      </c>
      <c r="J12" s="8"/>
      <c r="K12" s="8"/>
      <c r="L12" s="60"/>
      <c r="M12" s="8"/>
      <c r="N12" s="8"/>
      <c r="O12" s="8"/>
    </row>
    <row r="13" spans="1:15" x14ac:dyDescent="0.2">
      <c r="A13" s="8"/>
      <c r="B13" s="8"/>
      <c r="C13" s="8"/>
      <c r="D13" s="60"/>
      <c r="E13" s="8"/>
      <c r="F13" s="8" t="s">
        <v>4</v>
      </c>
      <c r="G13" s="8"/>
      <c r="I13" s="8"/>
      <c r="J13" s="8"/>
      <c r="K13" s="8"/>
      <c r="L13" s="60"/>
      <c r="M13" s="8"/>
      <c r="N13" s="8"/>
      <c r="O13" s="8" t="s">
        <v>5</v>
      </c>
    </row>
    <row r="14" spans="1:15" x14ac:dyDescent="0.2">
      <c r="A14" s="8"/>
      <c r="B14" s="8"/>
      <c r="C14" s="8"/>
      <c r="D14" s="60"/>
      <c r="E14" s="8"/>
      <c r="F14" s="8"/>
      <c r="G14" s="8" t="s">
        <v>5</v>
      </c>
      <c r="I14" s="8"/>
      <c r="J14" s="8" t="s">
        <v>2</v>
      </c>
      <c r="K14" s="8"/>
      <c r="L14" s="60"/>
      <c r="M14" s="8"/>
      <c r="N14" s="8"/>
      <c r="O14" s="8"/>
    </row>
    <row r="15" spans="1:15" x14ac:dyDescent="0.2">
      <c r="A15" s="8"/>
      <c r="B15" s="8"/>
      <c r="C15" s="8" t="s">
        <v>1</v>
      </c>
      <c r="D15" s="60"/>
      <c r="E15" s="8"/>
      <c r="F15" s="8"/>
      <c r="G15" s="8"/>
      <c r="I15" s="8"/>
      <c r="J15" s="8"/>
      <c r="K15" s="8"/>
      <c r="L15" s="60"/>
      <c r="M15" s="8" t="s">
        <v>3</v>
      </c>
      <c r="N15" s="8"/>
      <c r="O15" s="8"/>
    </row>
    <row r="16" spans="1:15" x14ac:dyDescent="0.2">
      <c r="A16" s="8"/>
      <c r="B16" s="8"/>
      <c r="C16" s="8"/>
      <c r="D16" s="60"/>
      <c r="E16" s="8"/>
      <c r="F16" s="8" t="s">
        <v>4</v>
      </c>
      <c r="G16" s="8"/>
      <c r="I16" s="8"/>
      <c r="J16" s="8"/>
      <c r="K16" s="8" t="s">
        <v>1</v>
      </c>
      <c r="L16" s="60"/>
      <c r="M16" s="8"/>
      <c r="N16" s="8"/>
      <c r="O16" s="8"/>
    </row>
    <row r="17" spans="1:15" x14ac:dyDescent="0.2">
      <c r="A17" s="8"/>
      <c r="B17" s="8" t="s">
        <v>2</v>
      </c>
      <c r="C17" s="8"/>
      <c r="D17" s="60"/>
      <c r="E17" s="8"/>
      <c r="F17" s="8"/>
      <c r="G17" s="8"/>
      <c r="I17" s="8"/>
      <c r="J17" s="8"/>
      <c r="K17" s="8"/>
      <c r="L17" s="60"/>
      <c r="M17" s="8"/>
      <c r="N17" s="8" t="s">
        <v>4</v>
      </c>
      <c r="O17" s="8"/>
    </row>
    <row r="18" spans="1:15" x14ac:dyDescent="0.2">
      <c r="A18" s="8"/>
      <c r="B18" s="8"/>
      <c r="C18" s="8"/>
      <c r="D18" s="60"/>
      <c r="E18" s="8" t="s">
        <v>3</v>
      </c>
      <c r="F18" s="8"/>
      <c r="G18" s="8"/>
      <c r="I18" s="8" t="s">
        <v>0</v>
      </c>
      <c r="J18" s="8"/>
      <c r="K18" s="8"/>
      <c r="L18" s="60"/>
      <c r="M18" s="8"/>
      <c r="N18" s="8"/>
      <c r="O18" s="8"/>
    </row>
    <row r="19" spans="1:15" x14ac:dyDescent="0.2">
      <c r="A19" s="8"/>
      <c r="B19" s="8"/>
      <c r="C19" s="8" t="s">
        <v>1</v>
      </c>
      <c r="D19" s="60"/>
      <c r="E19" s="8"/>
      <c r="F19" s="8"/>
      <c r="G19" s="8"/>
      <c r="I19" s="8"/>
      <c r="J19" s="8"/>
      <c r="K19" s="8"/>
      <c r="L19" s="60"/>
      <c r="M19" s="8"/>
      <c r="N19" s="8"/>
      <c r="O19" s="8" t="s">
        <v>5</v>
      </c>
    </row>
    <row r="20" spans="1:15" ht="13.5" thickBot="1" x14ac:dyDescent="0.25">
      <c r="A20" s="9"/>
      <c r="B20" s="9"/>
      <c r="C20" s="9"/>
      <c r="D20" s="61"/>
      <c r="E20" s="9"/>
      <c r="F20" s="9"/>
      <c r="G20" s="9" t="s">
        <v>5</v>
      </c>
      <c r="I20" s="9"/>
      <c r="J20" s="9"/>
      <c r="K20" s="9"/>
      <c r="L20" s="61"/>
      <c r="M20" s="9" t="s">
        <v>3</v>
      </c>
      <c r="N20" s="9"/>
      <c r="O20" s="9"/>
    </row>
    <row r="22" spans="1:15" ht="13.5" thickBot="1" x14ac:dyDescent="0.25"/>
    <row r="23" spans="1:15" ht="13.5" thickBot="1" x14ac:dyDescent="0.25">
      <c r="E23" s="37"/>
      <c r="F23" s="38" t="s">
        <v>0</v>
      </c>
      <c r="G23" s="38" t="s">
        <v>2</v>
      </c>
      <c r="H23" s="38" t="s">
        <v>1</v>
      </c>
      <c r="I23" s="38" t="s">
        <v>3</v>
      </c>
      <c r="J23" s="38" t="s">
        <v>4</v>
      </c>
      <c r="K23" s="38" t="s">
        <v>5</v>
      </c>
      <c r="L23" s="38" t="s">
        <v>10</v>
      </c>
    </row>
    <row r="24" spans="1:15" ht="13.5" thickBot="1" x14ac:dyDescent="0.25">
      <c r="E24" s="7" t="s">
        <v>6</v>
      </c>
      <c r="F24" s="13">
        <f>+D7+D11+L9+L12+L18</f>
        <v>0</v>
      </c>
      <c r="G24" s="13">
        <f>+D9+D12+D17+L10+L14</f>
        <v>0</v>
      </c>
      <c r="H24" s="13">
        <f>+D8+D15+D19+L8+L16</f>
        <v>0</v>
      </c>
      <c r="I24" s="13">
        <f>+D6+D18+L7+L15+L20</f>
        <v>0</v>
      </c>
      <c r="J24" s="13">
        <f>+D10+D13+D16+L11+L17</f>
        <v>0</v>
      </c>
      <c r="K24" s="13">
        <f>+D14+D20+L6+L13+L19</f>
        <v>0</v>
      </c>
      <c r="L24" s="13">
        <f>SUM(F24:K24)</f>
        <v>0</v>
      </c>
    </row>
    <row r="25" spans="1:15" x14ac:dyDescent="0.2">
      <c r="A25" s="70"/>
      <c r="B25" s="70"/>
      <c r="C25" s="70"/>
      <c r="E25" s="81" t="s">
        <v>1</v>
      </c>
      <c r="F25" s="83">
        <f>+L24/6</f>
        <v>0</v>
      </c>
      <c r="G25" s="84"/>
      <c r="H25" s="84"/>
      <c r="I25" s="84"/>
      <c r="J25" s="84"/>
      <c r="K25" s="85"/>
      <c r="L25" s="23"/>
      <c r="M25" s="70"/>
      <c r="N25" s="70"/>
      <c r="O25" s="70"/>
    </row>
    <row r="26" spans="1:15" x14ac:dyDescent="0.2">
      <c r="E26" s="82"/>
      <c r="F26" s="72"/>
      <c r="G26" s="34">
        <f>+F26</f>
        <v>0</v>
      </c>
      <c r="H26" s="34">
        <f t="shared" ref="H26:K26" si="0">+G26</f>
        <v>0</v>
      </c>
      <c r="I26" s="34">
        <f t="shared" si="0"/>
        <v>0</v>
      </c>
      <c r="J26" s="34">
        <f t="shared" si="0"/>
        <v>0</v>
      </c>
      <c r="K26" s="34">
        <f t="shared" si="0"/>
        <v>0</v>
      </c>
      <c r="L26" s="24"/>
    </row>
    <row r="27" spans="1:15" x14ac:dyDescent="0.2">
      <c r="E27" s="8" t="s">
        <v>7</v>
      </c>
      <c r="F27" s="29">
        <f t="shared" ref="F27:K27" si="1">+F24-F26</f>
        <v>0</v>
      </c>
      <c r="G27" s="29">
        <f t="shared" si="1"/>
        <v>0</v>
      </c>
      <c r="H27" s="29">
        <f t="shared" si="1"/>
        <v>0</v>
      </c>
      <c r="I27" s="29">
        <f t="shared" si="1"/>
        <v>0</v>
      </c>
      <c r="J27" s="29">
        <f t="shared" si="1"/>
        <v>0</v>
      </c>
      <c r="K27" s="29">
        <f t="shared" si="1"/>
        <v>0</v>
      </c>
      <c r="L27" s="24"/>
    </row>
    <row r="28" spans="1:15" x14ac:dyDescent="0.2">
      <c r="E28" s="8" t="s">
        <v>8</v>
      </c>
      <c r="F28" s="14">
        <f t="shared" ref="F28:K28" si="2">+F27*6</f>
        <v>0</v>
      </c>
      <c r="G28" s="14">
        <f t="shared" si="2"/>
        <v>0</v>
      </c>
      <c r="H28" s="14">
        <f t="shared" si="2"/>
        <v>0</v>
      </c>
      <c r="I28" s="14">
        <f t="shared" si="2"/>
        <v>0</v>
      </c>
      <c r="J28" s="14">
        <f t="shared" si="2"/>
        <v>0</v>
      </c>
      <c r="K28" s="14">
        <f t="shared" si="2"/>
        <v>0</v>
      </c>
      <c r="L28" s="24"/>
    </row>
    <row r="29" spans="1:15" ht="13.5" thickBot="1" x14ac:dyDescent="0.25">
      <c r="E29" s="9" t="s">
        <v>9</v>
      </c>
      <c r="F29" s="16">
        <f t="shared" ref="F29:K29" si="3">+F28+50</f>
        <v>50</v>
      </c>
      <c r="G29" s="16">
        <f t="shared" si="3"/>
        <v>50</v>
      </c>
      <c r="H29" s="16">
        <f t="shared" si="3"/>
        <v>50</v>
      </c>
      <c r="I29" s="16">
        <f t="shared" si="3"/>
        <v>50</v>
      </c>
      <c r="J29" s="16">
        <f t="shared" si="3"/>
        <v>50</v>
      </c>
      <c r="K29" s="16">
        <f t="shared" si="3"/>
        <v>50</v>
      </c>
      <c r="L29" s="24"/>
    </row>
  </sheetData>
  <sheetProtection password="C6B9" sheet="1" objects="1" scenarios="1" formatCells="0" formatColumns="0" formatRows="0" insertColumns="0" insertRows="0" insertHyperlinks="0" deleteColumns="0" deleteRows="0" sort="0" autoFilter="0" pivotTables="0"/>
  <mergeCells count="3">
    <mergeCell ref="A2:O2"/>
    <mergeCell ref="E25:E26"/>
    <mergeCell ref="F25:K25"/>
  </mergeCells>
  <phoneticPr fontId="1" type="noConversion"/>
  <printOptions horizontalCentered="1" verticalCentered="1"/>
  <pageMargins left="0" right="0" top="0" bottom="0" header="0" footer="0"/>
  <pageSetup orientation="portrait" horizontalDpi="300" verticalDpi="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M25"/>
  <sheetViews>
    <sheetView showGridLines="0" workbookViewId="0">
      <selection activeCell="H23" sqref="H23"/>
    </sheetView>
  </sheetViews>
  <sheetFormatPr baseColWidth="10" defaultRowHeight="12.75" x14ac:dyDescent="0.2"/>
  <cols>
    <col min="1" max="1" width="5" customWidth="1"/>
    <col min="2" max="3" width="5" style="1" customWidth="1"/>
    <col min="4" max="4" width="5" customWidth="1"/>
    <col min="5" max="6" width="5" style="1" customWidth="1"/>
    <col min="7" max="13" width="5" customWidth="1"/>
    <col min="14" max="16" width="3.7109375" customWidth="1"/>
  </cols>
  <sheetData>
    <row r="2" spans="2:13" x14ac:dyDescent="0.2">
      <c r="B2" s="80" t="s">
        <v>24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2:13" x14ac:dyDescent="0.2">
      <c r="I3" t="s">
        <v>19</v>
      </c>
    </row>
    <row r="5" spans="2:13" ht="13.5" thickBot="1" x14ac:dyDescent="0.25"/>
    <row r="6" spans="2:13" x14ac:dyDescent="0.2">
      <c r="B6" s="7" t="s">
        <v>1</v>
      </c>
      <c r="C6" s="7"/>
      <c r="D6" s="59"/>
      <c r="E6" s="7"/>
      <c r="F6" s="7"/>
      <c r="I6" s="7"/>
      <c r="J6" s="7" t="s">
        <v>14</v>
      </c>
      <c r="K6" s="59"/>
      <c r="L6" s="7"/>
      <c r="M6" s="7"/>
    </row>
    <row r="7" spans="2:13" x14ac:dyDescent="0.2">
      <c r="B7" s="8"/>
      <c r="C7" s="8" t="s">
        <v>14</v>
      </c>
      <c r="D7" s="60"/>
      <c r="E7" s="8"/>
      <c r="F7" s="8"/>
      <c r="I7" s="8"/>
      <c r="J7" s="8"/>
      <c r="K7" s="60"/>
      <c r="L7" s="8" t="s">
        <v>13</v>
      </c>
      <c r="M7" s="8"/>
    </row>
    <row r="8" spans="2:13" x14ac:dyDescent="0.2">
      <c r="B8" s="8"/>
      <c r="C8" s="8"/>
      <c r="D8" s="60"/>
      <c r="E8" s="8"/>
      <c r="F8" s="8" t="s">
        <v>12</v>
      </c>
      <c r="I8" s="8" t="s">
        <v>1</v>
      </c>
      <c r="J8" s="8"/>
      <c r="K8" s="60"/>
      <c r="L8" s="8"/>
      <c r="M8" s="8"/>
    </row>
    <row r="9" spans="2:13" x14ac:dyDescent="0.2">
      <c r="B9" s="8"/>
      <c r="C9" s="8"/>
      <c r="D9" s="60"/>
      <c r="E9" s="8" t="s">
        <v>13</v>
      </c>
      <c r="F9" s="8"/>
      <c r="I9" s="8"/>
      <c r="J9" s="8"/>
      <c r="K9" s="60"/>
      <c r="L9" s="8"/>
      <c r="M9" s="8" t="s">
        <v>12</v>
      </c>
    </row>
    <row r="10" spans="2:13" x14ac:dyDescent="0.2">
      <c r="B10" s="8"/>
      <c r="C10" s="8" t="s">
        <v>14</v>
      </c>
      <c r="D10" s="60"/>
      <c r="E10" s="8"/>
      <c r="F10" s="8"/>
      <c r="I10" s="8"/>
      <c r="J10" s="8"/>
      <c r="K10" s="60"/>
      <c r="L10" s="8" t="s">
        <v>13</v>
      </c>
      <c r="M10" s="8"/>
    </row>
    <row r="11" spans="2:13" x14ac:dyDescent="0.2">
      <c r="B11" s="8" t="s">
        <v>1</v>
      </c>
      <c r="C11" s="8"/>
      <c r="D11" s="60"/>
      <c r="E11" s="8"/>
      <c r="F11" s="8"/>
      <c r="I11" s="8" t="s">
        <v>1</v>
      </c>
      <c r="J11" s="8"/>
      <c r="K11" s="60"/>
      <c r="L11" s="8"/>
      <c r="M11" s="8"/>
    </row>
    <row r="12" spans="2:13" x14ac:dyDescent="0.2">
      <c r="B12" s="8"/>
      <c r="C12" s="8" t="s">
        <v>14</v>
      </c>
      <c r="D12" s="60"/>
      <c r="E12" s="8"/>
      <c r="F12" s="8"/>
      <c r="I12" s="8"/>
      <c r="J12" s="8"/>
      <c r="K12" s="60"/>
      <c r="L12" s="8" t="s">
        <v>13</v>
      </c>
      <c r="M12" s="8"/>
    </row>
    <row r="13" spans="2:13" x14ac:dyDescent="0.2">
      <c r="B13" s="8"/>
      <c r="C13" s="8"/>
      <c r="D13" s="60"/>
      <c r="E13" s="8"/>
      <c r="F13" s="8" t="s">
        <v>12</v>
      </c>
      <c r="I13" s="8"/>
      <c r="J13" s="8"/>
      <c r="K13" s="60"/>
      <c r="L13" s="8"/>
      <c r="M13" s="8" t="s">
        <v>12</v>
      </c>
    </row>
    <row r="14" spans="2:13" x14ac:dyDescent="0.2">
      <c r="B14" s="8" t="s">
        <v>1</v>
      </c>
      <c r="C14" s="8"/>
      <c r="D14" s="60"/>
      <c r="E14" s="8"/>
      <c r="F14" s="8"/>
      <c r="I14" s="8"/>
      <c r="J14" s="8"/>
      <c r="K14" s="60"/>
      <c r="L14" s="8" t="s">
        <v>13</v>
      </c>
      <c r="M14" s="8"/>
    </row>
    <row r="15" spans="2:13" x14ac:dyDescent="0.2">
      <c r="B15" s="8"/>
      <c r="C15" s="8"/>
      <c r="D15" s="60"/>
      <c r="E15" s="8" t="s">
        <v>13</v>
      </c>
      <c r="F15" s="8"/>
      <c r="I15" s="8"/>
      <c r="J15" s="8"/>
      <c r="K15" s="60"/>
      <c r="L15" s="8"/>
      <c r="M15" s="8" t="s">
        <v>12</v>
      </c>
    </row>
    <row r="16" spans="2:13" x14ac:dyDescent="0.2">
      <c r="B16" s="8"/>
      <c r="C16" s="8" t="s">
        <v>14</v>
      </c>
      <c r="D16" s="60"/>
      <c r="E16" s="8"/>
      <c r="F16" s="8"/>
      <c r="I16" s="8" t="s">
        <v>1</v>
      </c>
      <c r="J16" s="8"/>
      <c r="K16" s="60"/>
      <c r="L16" s="8"/>
      <c r="M16" s="8"/>
    </row>
    <row r="17" spans="2:13" ht="13.5" thickBot="1" x14ac:dyDescent="0.25">
      <c r="B17" s="9"/>
      <c r="C17" s="9"/>
      <c r="D17" s="61"/>
      <c r="E17" s="9"/>
      <c r="F17" s="9" t="s">
        <v>12</v>
      </c>
      <c r="I17" s="9"/>
      <c r="J17" s="9" t="s">
        <v>14</v>
      </c>
      <c r="K17" s="61"/>
      <c r="L17" s="9"/>
      <c r="M17" s="9"/>
    </row>
    <row r="19" spans="2:13" ht="13.5" thickBot="1" x14ac:dyDescent="0.25"/>
    <row r="20" spans="2:13" ht="13.5" thickBot="1" x14ac:dyDescent="0.25">
      <c r="E20" s="17"/>
      <c r="F20" s="38" t="s">
        <v>0</v>
      </c>
      <c r="G20" s="86" t="s">
        <v>1</v>
      </c>
      <c r="H20" s="87"/>
      <c r="I20" s="38" t="s">
        <v>7</v>
      </c>
      <c r="J20" s="38" t="s">
        <v>8</v>
      </c>
      <c r="K20" s="38" t="s">
        <v>9</v>
      </c>
    </row>
    <row r="21" spans="2:13" x14ac:dyDescent="0.2">
      <c r="E21" s="18" t="s">
        <v>1</v>
      </c>
      <c r="F21" s="19">
        <f>+D6+D11+D14+K8+K11+K16</f>
        <v>0</v>
      </c>
      <c r="G21" s="88">
        <f>+F25/4</f>
        <v>0</v>
      </c>
      <c r="H21" s="69"/>
      <c r="I21" s="21">
        <f>+F21-H21</f>
        <v>0</v>
      </c>
      <c r="J21" s="21">
        <f>+I21*5</f>
        <v>0</v>
      </c>
      <c r="K21" s="21">
        <f>+J21+70</f>
        <v>70</v>
      </c>
    </row>
    <row r="22" spans="2:13" x14ac:dyDescent="0.2">
      <c r="E22" s="8" t="s">
        <v>14</v>
      </c>
      <c r="F22" s="15">
        <f>+D7+D10+D12+D16+K6+K17</f>
        <v>0</v>
      </c>
      <c r="G22" s="89"/>
      <c r="H22" s="26">
        <f>H21</f>
        <v>0</v>
      </c>
      <c r="I22" s="21">
        <f>+F22-H22</f>
        <v>0</v>
      </c>
      <c r="J22" s="21">
        <f>+I22*5</f>
        <v>0</v>
      </c>
      <c r="K22" s="21">
        <f>+J22+70</f>
        <v>70</v>
      </c>
    </row>
    <row r="23" spans="2:13" x14ac:dyDescent="0.2">
      <c r="E23" s="8" t="s">
        <v>13</v>
      </c>
      <c r="F23" s="15">
        <f>+D9+D15+K7+K10+K12+K14</f>
        <v>0</v>
      </c>
      <c r="G23" s="89"/>
      <c r="H23" s="26">
        <f>H22</f>
        <v>0</v>
      </c>
      <c r="I23" s="21">
        <f>+F23-H23</f>
        <v>0</v>
      </c>
      <c r="J23" s="21">
        <f>+I23*5</f>
        <v>0</v>
      </c>
      <c r="K23" s="21">
        <f>+J23+70</f>
        <v>70</v>
      </c>
    </row>
    <row r="24" spans="2:13" ht="13.5" thickBot="1" x14ac:dyDescent="0.25">
      <c r="E24" s="8" t="s">
        <v>12</v>
      </c>
      <c r="F24" s="15">
        <f>+D8+D13+D17+K9+K13+K15</f>
        <v>0</v>
      </c>
      <c r="G24" s="90"/>
      <c r="H24" s="27">
        <f>H23</f>
        <v>0</v>
      </c>
      <c r="I24" s="22">
        <f>+F24-H24</f>
        <v>0</v>
      </c>
      <c r="J24" s="22">
        <f>+I24*5</f>
        <v>0</v>
      </c>
      <c r="K24" s="22">
        <f>+J24+70</f>
        <v>70</v>
      </c>
    </row>
    <row r="25" spans="2:13" ht="13.5" thickBot="1" x14ac:dyDescent="0.25">
      <c r="E25" s="6" t="s">
        <v>6</v>
      </c>
      <c r="F25" s="20">
        <f>SUM(F21:F24)</f>
        <v>0</v>
      </c>
    </row>
  </sheetData>
  <sheetProtection password="C6B9" sheet="1" objects="1" scenarios="1" formatCells="0" formatColumns="0" formatRows="0" insertColumns="0" insertRows="0" insertHyperlinks="0" deleteColumns="0" deleteRows="0" sort="0" autoFilter="0" pivotTables="0"/>
  <mergeCells count="3">
    <mergeCell ref="G20:H20"/>
    <mergeCell ref="B2:M2"/>
    <mergeCell ref="G21:G24"/>
  </mergeCells>
  <phoneticPr fontId="1" type="noConversion"/>
  <printOptions horizontalCentered="1" verticalCentered="1"/>
  <pageMargins left="0" right="0" top="0" bottom="0" header="0" footer="0"/>
  <pageSetup orientation="portrait" horizontalDpi="300" verticalDpi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Proc. Ps.</vt:lpstr>
      <vt:lpstr>Val. Ps.</vt:lpstr>
      <vt:lpstr>Val. Puesto</vt:lpstr>
      <vt:lpstr>Proc. Puesto</vt:lpstr>
    </vt:vector>
  </TitlesOfParts>
  <Company>Serrot Creations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Morales Calderón</dc:creator>
  <cp:lastModifiedBy>Martin Carlos Hdez</cp:lastModifiedBy>
  <cp:lastPrinted>2009-07-21T16:27:57Z</cp:lastPrinted>
  <dcterms:created xsi:type="dcterms:W3CDTF">2007-02-10T02:37:54Z</dcterms:created>
  <dcterms:modified xsi:type="dcterms:W3CDTF">2021-10-20T21:22:34Z</dcterms:modified>
</cp:coreProperties>
</file>